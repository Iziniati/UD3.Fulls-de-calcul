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150" windowHeight="807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<sst xmlns="http://schemas.openxmlformats.org/spreadsheetml/2006/main" count="12" uniqueCount="12">
  <si>
    <t>Concepte</t>
  </si>
  <si>
    <t>Quantitat</t>
  </si>
  <si>
    <t>Preu unitari (€)</t>
  </si>
  <si>
    <t>Descompte (%)</t>
  </si>
  <si>
    <t>Total descompte</t>
  </si>
  <si>
    <t>IVA</t>
  </si>
  <si>
    <t>Total IVA</t>
  </si>
  <si>
    <t>Total amb IVA</t>
  </si>
  <si>
    <t>Camiseta</t>
  </si>
  <si>
    <t>Sudadera</t>
  </si>
  <si>
    <t>Calcetins</t>
  </si>
  <si>
    <t>TOTAL</t>
  </si>
</sst>
</file>

<file path=xl/styles.xml><?xml version="1.0" encoding="utf-8"?>
<styleSheet xmlns="http://schemas.openxmlformats.org/spreadsheetml/2006/main">
  <numFmts count="4">
    <numFmt numFmtId="176" formatCode="_-* #,##0.00\ &quot;€&quot;_-;\-* #,##0.00\ &quot;€&quot;_-;_-* \-??\ &quot;€&quot;_-;_-@_-"/>
    <numFmt numFmtId="41" formatCode="_-* #,##0_-;\-* #,##0_-;_-* &quot;-&quot;_-;_-@_-"/>
    <numFmt numFmtId="177" formatCode="_-* #,##0\ &quot;€&quot;_-;\-* #,##0\ &quot;€&quot;_-;_-* &quot;-&quot;\ &quot;€&quot;_-;_-@_-"/>
    <numFmt numFmtId="43" formatCode="_-* #,##0.00_-;\-* #,##0.00_-;_-* &quot;-&quot;??_-;_-@_-"/>
  </numFmts>
  <fonts count="22">
    <font>
      <sz val="11"/>
      <color theme="1"/>
      <name val="Calibri"/>
      <charset val="134"/>
      <scheme val="minor"/>
    </font>
    <font>
      <b/>
      <sz val="10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sz val="11"/>
      <color theme="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FA7D00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>
      <alignment vertical="center"/>
    </xf>
    <xf numFmtId="0" fontId="3" fillId="20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4" fillId="7" borderId="5" applyNumberFormat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12" fillId="4" borderId="3" applyNumberForma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6" fillId="7" borderId="3" applyNumberFormat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1" applyNumberFormat="0" applyFill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0" fillId="0" borderId="1" applyNumberFormat="0" applyFill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0" fillId="3" borderId="2" applyNumberForma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"/>
  <sheetViews>
    <sheetView tabSelected="1" workbookViewId="0">
      <selection activeCell="H2" sqref="H2"/>
    </sheetView>
  </sheetViews>
  <sheetFormatPr defaultColWidth="8.8" defaultRowHeight="15" outlineLevelRow="5" outlineLevelCol="7"/>
  <sheetData>
    <row r="1" ht="25.5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 t="s">
        <v>8</v>
      </c>
      <c r="B2" s="2">
        <v>2</v>
      </c>
      <c r="C2" s="2">
        <v>15</v>
      </c>
      <c r="D2" s="2">
        <v>10</v>
      </c>
      <c r="E2" s="2">
        <f>B2*C2*D2/100</f>
        <v>3</v>
      </c>
      <c r="F2" s="2">
        <v>21</v>
      </c>
      <c r="G2" s="2">
        <f>(B2*C2)-E2</f>
        <v>27</v>
      </c>
      <c r="H2" s="2">
        <f>((B2*C2)-E2)*F2/100</f>
        <v>5.67</v>
      </c>
    </row>
    <row r="3" spans="1:8">
      <c r="A3" s="2" t="s">
        <v>9</v>
      </c>
      <c r="B3" s="2">
        <v>1</v>
      </c>
      <c r="C3" s="2">
        <v>25</v>
      </c>
      <c r="D3" s="2">
        <v>0</v>
      </c>
      <c r="E3" s="2">
        <f>B3*C3*D3/100</f>
        <v>0</v>
      </c>
      <c r="F3" s="2">
        <v>21</v>
      </c>
      <c r="G3" s="2">
        <f>(B3*C3)-E3</f>
        <v>25</v>
      </c>
      <c r="H3" s="2">
        <f>((B3*C3)-E3)*F3/100</f>
        <v>5.25</v>
      </c>
    </row>
    <row r="4" spans="1:8">
      <c r="A4" s="2" t="s">
        <v>10</v>
      </c>
      <c r="B4" s="2">
        <v>3</v>
      </c>
      <c r="C4" s="2">
        <v>12</v>
      </c>
      <c r="D4" s="2">
        <v>5</v>
      </c>
      <c r="E4" s="2">
        <f>B4*C4*D4/100</f>
        <v>1.8</v>
      </c>
      <c r="F4" s="2">
        <v>21</v>
      </c>
      <c r="G4" s="2">
        <f>((B4*C4)-E4)</f>
        <v>34.2</v>
      </c>
      <c r="H4" s="2">
        <f>((B4*C4)-E4)*F4/100</f>
        <v>7.182</v>
      </c>
    </row>
    <row r="6" spans="1:8">
      <c r="A6" s="1" t="s">
        <v>11</v>
      </c>
      <c r="B6"/>
      <c r="C6"/>
      <c r="D6"/>
      <c r="E6" s="2">
        <f>SUM(E2:E4)</f>
        <v>4.8</v>
      </c>
      <c r="H6" s="2">
        <v>89.17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izan</dc:creator>
  <cp:lastModifiedBy>izan</cp:lastModifiedBy>
  <dcterms:created xsi:type="dcterms:W3CDTF">2025-11-18T11:12:23Z</dcterms:created>
  <dcterms:modified xsi:type="dcterms:W3CDTF">2025-11-18T11:20:23Z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1033-11.1.0.11723</vt:lpwstr>
  </property>
</Properties>
</file>